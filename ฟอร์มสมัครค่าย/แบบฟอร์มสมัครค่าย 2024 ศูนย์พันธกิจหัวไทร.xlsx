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703D034-5698-47B5-80F5-8AD91DF9AE87}" xr6:coauthVersionLast="44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ต่างจังหวัด" sheetId="2" r:id="rId1"/>
    <sheet name="รายละเอียดสมัครค่ายเด็ก" sheetId="3" r:id="rId2"/>
  </sheets>
  <definedNames>
    <definedName name="_xlnm.Print_Titles" localSheetId="0">ต่างจังหวัด!$3:$5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Y42" i="2" l="1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P43" i="2" l="1"/>
  <c r="A6" i="3" l="1"/>
  <c r="A7" i="3" s="1"/>
  <c r="A8" i="3" s="1"/>
  <c r="A9" i="3" s="1"/>
  <c r="A10" i="3" s="1"/>
  <c r="A11" i="3" s="1"/>
  <c r="X43" i="2"/>
  <c r="W43" i="2"/>
  <c r="V43" i="2"/>
  <c r="U43" i="2"/>
  <c r="T43" i="2"/>
  <c r="S43" i="2"/>
  <c r="R43" i="2"/>
  <c r="Q43" i="2"/>
  <c r="D43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Y43" i="2" l="1"/>
</calcChain>
</file>

<file path=xl/sharedStrings.xml><?xml version="1.0" encoding="utf-8"?>
<sst xmlns="http://schemas.openxmlformats.org/spreadsheetml/2006/main" count="88" uniqueCount="64">
  <si>
    <t>#</t>
  </si>
  <si>
    <t>ชื่อ</t>
  </si>
  <si>
    <t>สกุล</t>
  </si>
  <si>
    <t>ผู้ใหญ่</t>
  </si>
  <si>
    <t>เสื้อค่าย (ผู้ใหญ่)</t>
  </si>
  <si>
    <t>เสื้อค่ายเด็ก</t>
  </si>
  <si>
    <t>รวมเป็นเงิน</t>
  </si>
  <si>
    <t>@150 บ.</t>
  </si>
  <si>
    <t>หมายเหตุ</t>
  </si>
  <si>
    <t xml:space="preserve">บัญชีสำหรับโอนเงิน ธ.กสิกรไทย เลขที่ 038-175 8516   ชื่อบัญชี อัจฉรา เวสารัชกิตติ และ อัมพร ภาณุพิจารณ์ </t>
  </si>
  <si>
    <t>ปกติ 300</t>
  </si>
  <si>
    <t>นร. / นศ.</t>
  </si>
  <si>
    <t>ค่าสมัครค่าย ต่างจังหวัด</t>
  </si>
  <si>
    <t>Early 100</t>
  </si>
  <si>
    <t>Early 200</t>
  </si>
  <si>
    <t>ปกติ 200</t>
  </si>
  <si>
    <t>33"</t>
  </si>
  <si>
    <t>36"</t>
  </si>
  <si>
    <t>40"</t>
  </si>
  <si>
    <t>44"</t>
  </si>
  <si>
    <t>48"</t>
  </si>
  <si>
    <t>52"</t>
  </si>
  <si>
    <t>56"</t>
  </si>
  <si>
    <t>รวม</t>
  </si>
  <si>
    <t>ขอภาพถ่ายหน้าตรงที่ไม่ผ่านการปรับแต่งด้วยแอป, ไม่ใส่แว่น, ไม่ใส่หมวก เพื่อใช้สำหรับระบบ face scan ลงทะเบียนเข้างาน</t>
  </si>
  <si>
    <t>ป.3</t>
  </si>
  <si>
    <t>ด.ญ.อธิษฐาน</t>
  </si>
  <si>
    <t>Ex.</t>
  </si>
  <si>
    <t>อ.1</t>
  </si>
  <si>
    <t>ด.ช.สรรเสริญ</t>
  </si>
  <si>
    <t>เบอร์โทร</t>
  </si>
  <si>
    <t>ผู้ปกครอง</t>
  </si>
  <si>
    <t>ประถม</t>
  </si>
  <si>
    <t>อนุบาล</t>
  </si>
  <si>
    <t>อายุ</t>
  </si>
  <si>
    <t>กลุ่ม/คริสตจักร</t>
  </si>
  <si>
    <t>ชื่อเล่น</t>
  </si>
  <si>
    <t>วันที่ 26-29 กรกฎาคม 2024 @ คริสตจักรแห่งพันธสัญญากรุงเทพ</t>
  </si>
  <si>
    <t>แบบฟอร์มสมัครค่ายพันธสัญญา 2024</t>
  </si>
  <si>
    <t>ปกติ 250</t>
  </si>
  <si>
    <t>@100 บ.</t>
  </si>
  <si>
    <r>
      <t xml:space="preserve">เด็ก (อนุบาล-ป.6)
</t>
    </r>
    <r>
      <rPr>
        <b/>
        <sz val="12"/>
        <color rgb="FFFF0000"/>
        <rFont val="Browallia New"/>
        <family val="2"/>
      </rPr>
      <t>ตามปีการศึกษาใหม่</t>
    </r>
  </si>
  <si>
    <r>
      <t xml:space="preserve">ทะเบียนสำหรับค่ายเด็ก 2024: </t>
    </r>
    <r>
      <rPr>
        <b/>
        <sz val="18"/>
        <color rgb="FFFF0000"/>
        <rFont val="Browallia New"/>
        <family val="2"/>
      </rPr>
      <t>กรุณาระบุชั้นเรียนตามปีการศึกษาใหม่</t>
    </r>
  </si>
  <si>
    <t>Praise</t>
  </si>
  <si>
    <t>Pray</t>
  </si>
  <si>
    <r>
      <t xml:space="preserve">ผู้อาวุโส </t>
    </r>
    <r>
      <rPr>
        <b/>
        <sz val="12"/>
        <color rgb="FFFF0000"/>
        <rFont val="Browallia New"/>
        <family val="2"/>
      </rPr>
      <t>(65 ปีขึ้นไป)</t>
    </r>
  </si>
  <si>
    <t>38"</t>
  </si>
  <si>
    <t>42"</t>
  </si>
  <si>
    <t>@200</t>
  </si>
  <si>
    <t>ราคา Early Bird ถึงวันที่ 3 มิ.ย. หลังจากนั้นจะเป็นราคาปกติ (ดูจากวันที่โอนเงิน)</t>
  </si>
  <si>
    <t>เสื้อค่ายสั่งผลิตตามจำนนวน โดยจะปิดรับ order ภายในวันที่ 3 มิ.ย. และไม่มีการผลิตเพิ่มเพื่อจำหน่ายหน้างาน</t>
  </si>
  <si>
    <t>ศูนย์พันธกิจพันธสัญญาหัวไทร</t>
  </si>
  <si>
    <t>มณพิลาส</t>
  </si>
  <si>
    <t>พรหมสุทธิ</t>
  </si>
  <si>
    <t>ü</t>
  </si>
  <si>
    <t xml:space="preserve">มณทิรา </t>
  </si>
  <si>
    <t>เฉลิม</t>
  </si>
  <si>
    <t xml:space="preserve">ฉลวย </t>
  </si>
  <si>
    <t>บองทอง</t>
  </si>
  <si>
    <t>ปวีร์</t>
  </si>
  <si>
    <t>เพ็ชรดวง</t>
  </si>
  <si>
    <t xml:space="preserve">จารีย์ </t>
  </si>
  <si>
    <t>ณัฐภูมินทร์</t>
  </si>
  <si>
    <t>จันทร์ทอง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</si>
</sst>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ahoma"/>
      <family val="2"/>
      <charset val="22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b/>
      <sz val="14"/>
      <color theme="1"/>
      <name val="Browallia New"/>
      <family val="2"/>
    </font>
    <font>
      <sz val="14"/>
      <color theme="1"/>
      <name val="Browallia New"/>
      <family val="2"/>
    </font>
    <font>
      <b/>
      <sz val="16"/>
      <color rgb="FFFF0000"/>
      <name val="Browallia New"/>
      <family val="2"/>
    </font>
    <font>
      <b/>
      <sz val="14"/>
      <color rgb="FFFF0000"/>
      <name val="Browallia New"/>
      <family val="2"/>
    </font>
    <font>
      <b/>
      <sz val="16"/>
      <color rgb="FFFF0000"/>
      <name val="Berlin Sans FB Demi"/>
      <family val="2"/>
    </font>
    <font>
      <b/>
      <sz val="13"/>
      <color theme="1"/>
      <name val="Browallia New"/>
      <family val="2"/>
    </font>
    <font>
      <sz val="13"/>
      <color theme="1"/>
      <name val="Browallia New"/>
      <family val="2"/>
    </font>
    <font>
      <sz val="12"/>
      <color theme="1"/>
      <name val="Browallia New"/>
      <family val="2"/>
    </font>
    <font>
      <sz val="12"/>
      <color rgb="FF0070C0"/>
      <name val="Browallia New"/>
      <family val="2"/>
    </font>
    <font>
      <sz val="12"/>
      <name val="Browallia New"/>
      <family val="2"/>
    </font>
    <font>
      <b/>
      <sz val="20"/>
      <color rgb="FFFF0000"/>
      <name val="Browallia New"/>
      <family val="2"/>
    </font>
    <font>
      <b/>
      <sz val="13"/>
      <color rgb="FFFF0000"/>
      <name val="Browallia New"/>
      <family val="2"/>
    </font>
    <font>
      <b/>
      <sz val="12"/>
      <color theme="1"/>
      <name val="Browallia New"/>
      <family val="2"/>
    </font>
    <font>
      <b/>
      <sz val="14"/>
      <color theme="8" tint="-0.249977111117893"/>
      <name val="Browallia New"/>
      <family val="2"/>
    </font>
    <font>
      <sz val="11"/>
      <color rgb="FFFF0000"/>
      <name val="Tahoma"/>
      <family val="2"/>
      <charset val="222"/>
      <scheme val="minor"/>
    </font>
    <font>
      <sz val="16"/>
      <name val="Browallia New"/>
      <family val="2"/>
    </font>
    <font>
      <b/>
      <sz val="18"/>
      <color theme="1"/>
      <name val="Browallia New"/>
      <family val="2"/>
    </font>
    <font>
      <sz val="16"/>
      <color rgb="FFFF0000"/>
      <name val="Browallia New"/>
      <family val="2"/>
    </font>
    <font>
      <b/>
      <sz val="12"/>
      <color rgb="FF0070C0"/>
      <name val="Browallia New"/>
      <family val="2"/>
    </font>
    <font>
      <b/>
      <sz val="12"/>
      <color rgb="FFFF0000"/>
      <name val="Browallia New"/>
      <family val="2"/>
    </font>
    <font>
      <b/>
      <sz val="18"/>
      <color rgb="FFFF0000"/>
      <name val="Browallia New"/>
      <family val="2"/>
    </font>
    <font>
      <sz val="16"/>
      <color theme="1"/>
      <name val="Wingdings"/>
      <charset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D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0" fillId="0" borderId="12" xfId="0" applyFont="1" applyBorder="1"/>
    <xf numFmtId="0" fontId="10" fillId="0" borderId="7" xfId="0" applyFont="1" applyBorder="1"/>
    <xf numFmtId="0" fontId="10" fillId="0" borderId="13" xfId="0" applyFont="1" applyBorder="1"/>
    <xf numFmtId="0" fontId="10" fillId="0" borderId="10" xfId="0" applyFont="1" applyBorder="1"/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2" fillId="0" borderId="12" xfId="0" applyFont="1" applyBorder="1"/>
    <xf numFmtId="0" fontId="12" fillId="0" borderId="7" xfId="0" applyFont="1" applyBorder="1"/>
    <xf numFmtId="0" fontId="12" fillId="0" borderId="14" xfId="0" applyFont="1" applyBorder="1"/>
    <xf numFmtId="0" fontId="12" fillId="0" borderId="15" xfId="0" applyFont="1" applyBorder="1"/>
    <xf numFmtId="0" fontId="13" fillId="0" borderId="0" xfId="0" applyFont="1" applyAlignment="1">
      <alignment horizontal="right"/>
    </xf>
    <xf numFmtId="0" fontId="16" fillId="6" borderId="0" xfId="0" applyFont="1" applyFill="1"/>
    <xf numFmtId="0" fontId="4" fillId="6" borderId="0" xfId="0" applyFont="1" applyFill="1"/>
    <xf numFmtId="0" fontId="8" fillId="0" borderId="35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3" fontId="2" fillId="0" borderId="3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2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1" xfId="0" applyFont="1" applyBorder="1" applyAlignment="1">
      <alignment horizontal="center"/>
    </xf>
    <xf numFmtId="0" fontId="8" fillId="4" borderId="3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9" fillId="8" borderId="9" xfId="0" quotePrefix="1" applyFont="1" applyFill="1" applyBorder="1" applyAlignment="1">
      <alignment horizontal="center" vertical="center"/>
    </xf>
    <xf numFmtId="0" fontId="9" fillId="5" borderId="31" xfId="0" quotePrefix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3" fontId="1" fillId="0" borderId="19" xfId="0" applyNumberFormat="1" applyFont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/>
    </xf>
    <xf numFmtId="0" fontId="9" fillId="0" borderId="29" xfId="0" quotePrefix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4" borderId="27" xfId="0" quotePrefix="1" applyFont="1" applyFill="1" applyBorder="1" applyAlignment="1">
      <alignment horizontal="center" vertical="center"/>
    </xf>
    <xf numFmtId="0" fontId="9" fillId="4" borderId="28" xfId="0" quotePrefix="1" applyFont="1" applyFill="1" applyBorder="1" applyAlignment="1">
      <alignment horizontal="center" vertical="center"/>
    </xf>
    <xf numFmtId="0" fontId="17" fillId="0" borderId="43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4D5FF"/>
      <color rgb="FFFF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148590</xdr:colOff>
      <xdr:row>10</xdr:row>
      <xdr:rowOff>137160</xdr:rowOff>
    </xdr:from>
    <xdr:ext cx="65" cy="170239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9FD7BFFD-AB6B-4BC1-AE09-15F7689B900B}"/>
            </a:ext>
          </a:extLst>
        </xdr:cNvPr>
        <xdr:cNvSpPr txBox="1"/>
      </xdr:nvSpPr>
      <xdr:spPr>
        <a:xfrm>
          <a:off x="7760970" y="305562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4716-4DBF-47AD-95BF-5A60350470FD}">
  <sheetPr>
    <tabColor theme="8" tint="-0.249977111117893"/>
  </sheetPr>
  <dimension ref="A1:AA176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12" sqref="C12"/>
    </sheetView>
  </sheetViews>
  <sheetFormatPr defaultColWidth="8.69921875" defaultRowHeight="22.8" x14ac:dyDescent="0.55000000000000004"/>
  <cols>
    <col min="1" max="1" width="4.296875" style="1" customWidth="1"/>
    <col min="2" max="2" width="10.796875" style="1" customWidth="1"/>
    <col min="3" max="3" width="15.19921875" style="1" customWidth="1"/>
    <col min="4" max="11" width="6.59765625" style="1" customWidth="1"/>
    <col min="12" max="19" width="5.59765625" style="1" customWidth="1"/>
    <col min="20" max="20" width="7.296875" style="1" customWidth="1"/>
    <col min="21" max="24" width="4.59765625" style="1" customWidth="1"/>
    <col min="25" max="25" width="11.09765625" style="1" customWidth="1"/>
    <col min="26" max="16384" width="8.69921875" style="1"/>
  </cols>
  <sheetData>
    <row r="1" spans="1:27" ht="24" x14ac:dyDescent="0.65">
      <c r="A1" s="2" t="s">
        <v>38</v>
      </c>
      <c r="U1" s="6"/>
      <c r="V1" s="104"/>
      <c r="W1" s="104"/>
      <c r="X1" s="104"/>
      <c r="Y1" s="7"/>
    </row>
    <row r="2" spans="1:27" s="3" customFormat="1" ht="29.4" thickBot="1" x14ac:dyDescent="0.8">
      <c r="A2" s="2" t="s">
        <v>37</v>
      </c>
      <c r="U2" s="16"/>
      <c r="V2" s="16"/>
      <c r="W2" s="16"/>
      <c r="X2" s="16"/>
      <c r="Y2" s="21" t="s">
        <v>51</v>
      </c>
      <c r="Z2" s="16"/>
      <c r="AA2" s="16"/>
    </row>
    <row r="3" spans="1:27" s="4" customFormat="1" ht="19.95" customHeight="1" x14ac:dyDescent="0.55000000000000004">
      <c r="A3" s="105" t="s">
        <v>0</v>
      </c>
      <c r="B3" s="108" t="s">
        <v>1</v>
      </c>
      <c r="C3" s="111" t="s">
        <v>2</v>
      </c>
      <c r="D3" s="114" t="s">
        <v>12</v>
      </c>
      <c r="E3" s="115"/>
      <c r="F3" s="115"/>
      <c r="G3" s="115"/>
      <c r="H3" s="115"/>
      <c r="I3" s="115"/>
      <c r="J3" s="115"/>
      <c r="K3" s="116"/>
      <c r="L3" s="117" t="s">
        <v>4</v>
      </c>
      <c r="M3" s="119"/>
      <c r="N3" s="119"/>
      <c r="O3" s="119"/>
      <c r="P3" s="119"/>
      <c r="Q3" s="119"/>
      <c r="R3" s="119"/>
      <c r="S3" s="119"/>
      <c r="T3" s="120"/>
      <c r="U3" s="117" t="s">
        <v>5</v>
      </c>
      <c r="V3" s="118"/>
      <c r="W3" s="119"/>
      <c r="X3" s="120"/>
      <c r="Y3" s="129" t="s">
        <v>6</v>
      </c>
    </row>
    <row r="4" spans="1:27" s="4" customFormat="1" ht="37.799999999999997" customHeight="1" x14ac:dyDescent="0.55000000000000004">
      <c r="A4" s="106"/>
      <c r="B4" s="109"/>
      <c r="C4" s="112"/>
      <c r="D4" s="132" t="s">
        <v>11</v>
      </c>
      <c r="E4" s="133"/>
      <c r="F4" s="134" t="s">
        <v>45</v>
      </c>
      <c r="G4" s="135"/>
      <c r="H4" s="136" t="s">
        <v>3</v>
      </c>
      <c r="I4" s="136"/>
      <c r="J4" s="137" t="s">
        <v>41</v>
      </c>
      <c r="K4" s="138"/>
      <c r="L4" s="41" t="s">
        <v>16</v>
      </c>
      <c r="M4" s="42" t="s">
        <v>17</v>
      </c>
      <c r="N4" s="42" t="s">
        <v>46</v>
      </c>
      <c r="O4" s="42" t="s">
        <v>18</v>
      </c>
      <c r="P4" s="42" t="s">
        <v>47</v>
      </c>
      <c r="Q4" s="42" t="s">
        <v>19</v>
      </c>
      <c r="R4" s="42" t="s">
        <v>20</v>
      </c>
      <c r="S4" s="48" t="s">
        <v>21</v>
      </c>
      <c r="T4" s="43" t="s">
        <v>22</v>
      </c>
      <c r="U4" s="44">
        <v>24</v>
      </c>
      <c r="V4" s="45">
        <v>26</v>
      </c>
      <c r="W4" s="46">
        <v>28</v>
      </c>
      <c r="X4" s="47">
        <v>30</v>
      </c>
      <c r="Y4" s="130"/>
    </row>
    <row r="5" spans="1:27" s="5" customFormat="1" ht="19.95" customHeight="1" thickBot="1" x14ac:dyDescent="0.55000000000000004">
      <c r="A5" s="107"/>
      <c r="B5" s="110"/>
      <c r="C5" s="113"/>
      <c r="D5" s="51" t="s">
        <v>13</v>
      </c>
      <c r="E5" s="52" t="s">
        <v>15</v>
      </c>
      <c r="F5" s="53" t="s">
        <v>13</v>
      </c>
      <c r="G5" s="53" t="s">
        <v>15</v>
      </c>
      <c r="H5" s="54" t="s">
        <v>14</v>
      </c>
      <c r="I5" s="54" t="s">
        <v>10</v>
      </c>
      <c r="J5" s="55" t="s">
        <v>13</v>
      </c>
      <c r="K5" s="56" t="s">
        <v>39</v>
      </c>
      <c r="L5" s="143" t="s">
        <v>7</v>
      </c>
      <c r="M5" s="144"/>
      <c r="N5" s="144"/>
      <c r="O5" s="144"/>
      <c r="P5" s="144"/>
      <c r="Q5" s="144"/>
      <c r="R5" s="144"/>
      <c r="S5" s="57" t="s">
        <v>48</v>
      </c>
      <c r="T5" s="58" t="s">
        <v>48</v>
      </c>
      <c r="U5" s="139" t="s">
        <v>40</v>
      </c>
      <c r="V5" s="140"/>
      <c r="W5" s="141"/>
      <c r="X5" s="142"/>
      <c r="Y5" s="131"/>
    </row>
    <row r="6" spans="1:27" ht="19.95" customHeight="1" x14ac:dyDescent="0.55000000000000004">
      <c r="A6" s="12">
        <v>1</v>
      </c>
      <c r="B6" s="19" t="s">
        <v>52</v>
      </c>
      <c r="C6" s="20" t="s">
        <v>53</v>
      </c>
      <c r="D6" s="59"/>
      <c r="E6" s="60"/>
      <c r="F6" s="61"/>
      <c r="G6" s="61"/>
      <c r="H6" s="101" t="s">
        <v>54</v>
      </c>
      <c r="I6" s="62"/>
      <c r="J6" s="63"/>
      <c r="K6" s="64"/>
      <c r="L6" s="65"/>
      <c r="M6" s="100" t="s">
        <v>54</v>
      </c>
      <c r="N6" s="66"/>
      <c r="O6" s="66"/>
      <c r="P6" s="66"/>
      <c r="Q6" s="66"/>
      <c r="R6" s="66"/>
      <c r="S6" s="67"/>
      <c r="T6" s="68"/>
      <c r="U6" s="69"/>
      <c r="V6" s="61"/>
      <c r="W6" s="70"/>
      <c r="X6" s="71"/>
      <c r="Y6" s="72">
        <v>350</v>
      </c>
    </row>
    <row r="7" spans="1:27" ht="19.95" customHeight="1" x14ac:dyDescent="0.55000000000000004">
      <c r="A7" s="13">
        <f>A6+1</f>
        <v>2</v>
      </c>
      <c r="B7" s="17" t="s">
        <v>55</v>
      </c>
      <c r="C7" s="20" t="s">
        <v>53</v>
      </c>
      <c r="D7" s="73"/>
      <c r="E7" s="74"/>
      <c r="F7" s="75"/>
      <c r="G7" s="75"/>
      <c r="H7" s="101" t="s">
        <v>54</v>
      </c>
      <c r="I7" s="76"/>
      <c r="J7" s="77"/>
      <c r="K7" s="78"/>
      <c r="L7" s="100" t="s">
        <v>54</v>
      </c>
      <c r="M7" s="80"/>
      <c r="N7" s="80"/>
      <c r="O7" s="80"/>
      <c r="P7" s="80"/>
      <c r="Q7" s="80"/>
      <c r="R7" s="80"/>
      <c r="S7" s="81"/>
      <c r="T7" s="82"/>
      <c r="U7" s="83"/>
      <c r="V7" s="75"/>
      <c r="W7" s="84"/>
      <c r="X7" s="85"/>
      <c r="Y7" s="72">
        <v>350</v>
      </c>
    </row>
    <row r="8" spans="1:27" ht="19.95" customHeight="1" x14ac:dyDescent="0.55000000000000004">
      <c r="A8" s="13">
        <f t="shared" ref="A8:A42" si="0">A7+1</f>
        <v>3</v>
      </c>
      <c r="B8" s="17" t="s">
        <v>56</v>
      </c>
      <c r="C8" s="20" t="s">
        <v>53</v>
      </c>
      <c r="D8" s="73"/>
      <c r="E8" s="74"/>
      <c r="F8" s="99" t="s">
        <v>54</v>
      </c>
      <c r="G8" s="75"/>
      <c r="H8" s="76"/>
      <c r="I8" s="76"/>
      <c r="J8" s="77"/>
      <c r="K8" s="78"/>
      <c r="L8" s="79"/>
      <c r="M8" s="100" t="s">
        <v>54</v>
      </c>
      <c r="N8" s="80"/>
      <c r="O8" s="80"/>
      <c r="P8" s="80"/>
      <c r="Q8" s="80"/>
      <c r="R8" s="80"/>
      <c r="S8" s="81"/>
      <c r="T8" s="82"/>
      <c r="U8" s="83"/>
      <c r="V8" s="75"/>
      <c r="W8" s="84"/>
      <c r="X8" s="85"/>
      <c r="Y8" s="72">
        <v>250</v>
      </c>
    </row>
    <row r="9" spans="1:27" ht="19.95" customHeight="1" x14ac:dyDescent="0.55000000000000004">
      <c r="A9" s="13">
        <f t="shared" si="0"/>
        <v>4</v>
      </c>
      <c r="B9" s="17" t="s">
        <v>57</v>
      </c>
      <c r="C9" s="18" t="s">
        <v>58</v>
      </c>
      <c r="D9" s="73"/>
      <c r="E9" s="74"/>
      <c r="F9" s="75"/>
      <c r="G9" s="75"/>
      <c r="H9" s="101" t="s">
        <v>54</v>
      </c>
      <c r="I9" s="76"/>
      <c r="J9" s="77"/>
      <c r="K9" s="78"/>
      <c r="L9" s="100" t="s">
        <v>54</v>
      </c>
      <c r="M9" s="80"/>
      <c r="N9" s="80"/>
      <c r="O9" s="80"/>
      <c r="P9" s="80"/>
      <c r="Q9" s="80"/>
      <c r="R9" s="80"/>
      <c r="S9" s="81"/>
      <c r="T9" s="82"/>
      <c r="U9" s="83"/>
      <c r="V9" s="75"/>
      <c r="W9" s="84"/>
      <c r="X9" s="85"/>
      <c r="Y9" s="72">
        <v>350</v>
      </c>
    </row>
    <row r="10" spans="1:27" ht="19.95" customHeight="1" x14ac:dyDescent="0.55000000000000004">
      <c r="A10" s="13">
        <f t="shared" si="0"/>
        <v>5</v>
      </c>
      <c r="B10" s="17" t="s">
        <v>59</v>
      </c>
      <c r="C10" s="18" t="s">
        <v>60</v>
      </c>
      <c r="D10" s="73"/>
      <c r="E10" s="74"/>
      <c r="F10" s="75"/>
      <c r="G10" s="75"/>
      <c r="H10" s="76"/>
      <c r="I10" s="76"/>
      <c r="J10" s="102" t="s">
        <v>54</v>
      </c>
      <c r="K10" s="78"/>
      <c r="L10" s="79"/>
      <c r="M10" s="80"/>
      <c r="N10" s="100" t="s">
        <v>54</v>
      </c>
      <c r="O10" s="80"/>
      <c r="P10" s="80"/>
      <c r="Q10" s="80"/>
      <c r="R10" s="80"/>
      <c r="S10" s="81"/>
      <c r="T10" s="82"/>
      <c r="U10" s="83"/>
      <c r="V10" s="75"/>
      <c r="W10" s="103"/>
      <c r="X10" s="85"/>
      <c r="Y10" s="72">
        <v>250</v>
      </c>
    </row>
    <row r="11" spans="1:27" ht="19.95" customHeight="1" x14ac:dyDescent="0.55000000000000004">
      <c r="A11" s="13">
        <f t="shared" si="0"/>
        <v>6</v>
      </c>
      <c r="B11" s="17" t="s">
        <v>61</v>
      </c>
      <c r="C11" s="20" t="s">
        <v>53</v>
      </c>
      <c r="D11" s="73"/>
      <c r="E11" s="74"/>
      <c r="F11" s="75"/>
      <c r="G11" s="75"/>
      <c r="H11" s="101" t="s">
        <v>54</v>
      </c>
      <c r="I11" s="76"/>
      <c r="J11" s="77"/>
      <c r="K11" s="78"/>
      <c r="L11" s="100" t="s">
        <v>54</v>
      </c>
      <c r="M11" s="80"/>
      <c r="N11" s="80"/>
      <c r="O11" s="80"/>
      <c r="P11" s="80"/>
      <c r="Q11" s="80"/>
      <c r="R11" s="80"/>
      <c r="S11" s="81"/>
      <c r="T11" s="82"/>
      <c r="U11" s="83"/>
      <c r="V11" s="75"/>
      <c r="W11" s="84"/>
      <c r="X11" s="85"/>
      <c r="Y11" s="72">
        <v>350</v>
      </c>
    </row>
    <row r="12" spans="1:27" ht="19.95" customHeight="1" x14ac:dyDescent="0.55000000000000004">
      <c r="A12" s="13">
        <f t="shared" si="0"/>
        <v>7</v>
      </c>
      <c r="B12" s="17" t="s">
        <v>62</v>
      </c>
      <c r="C12" s="20" t="s">
        <v>63</v>
      </c>
      <c r="D12" s="73"/>
      <c r="E12" s="74"/>
      <c r="F12" s="75"/>
      <c r="G12" s="75"/>
      <c r="H12" s="76"/>
      <c r="I12" s="76"/>
      <c r="J12" s="102" t="s">
        <v>54</v>
      </c>
      <c r="K12" s="78"/>
      <c r="L12" s="79"/>
      <c r="M12" s="80"/>
      <c r="N12" s="80"/>
      <c r="O12" s="100" t="s">
        <v>54</v>
      </c>
      <c r="P12" s="80"/>
      <c r="Q12" s="80"/>
      <c r="R12" s="80"/>
      <c r="S12" s="81"/>
      <c r="T12" s="82"/>
      <c r="U12" s="83"/>
      <c r="V12" s="75"/>
      <c r="W12" s="84"/>
      <c r="X12" s="103"/>
      <c r="Y12" s="72">
        <v>250</v>
      </c>
    </row>
    <row r="13" spans="1:27" ht="19.95" customHeight="1" x14ac:dyDescent="0.55000000000000004">
      <c r="A13" s="13">
        <f t="shared" si="0"/>
        <v>8</v>
      </c>
      <c r="B13" s="17"/>
      <c r="C13" s="18"/>
      <c r="D13" s="73"/>
      <c r="E13" s="74"/>
      <c r="F13" s="75"/>
      <c r="G13" s="75"/>
      <c r="H13" s="76"/>
      <c r="I13" s="76"/>
      <c r="J13" s="77"/>
      <c r="K13" s="78"/>
      <c r="L13" s="79"/>
      <c r="M13" s="80"/>
      <c r="N13" s="80"/>
      <c r="O13" s="80"/>
      <c r="P13" s="80"/>
      <c r="Q13" s="80"/>
      <c r="R13" s="80"/>
      <c r="S13" s="81"/>
      <c r="T13" s="82"/>
      <c r="U13" s="83"/>
      <c r="V13" s="75"/>
      <c r="W13" s="84"/>
      <c r="X13" s="85"/>
      <c r="Y13" s="72">
        <f t="shared" ref="Y13:Y42" si="1">(D13*100)+(E13*200)+(F13*100)+(G13*200)+(H13*200)+(I13*300)+(J13*100)+(K13*250)+(L13*150)+(M13*150)+(N13*150)+(O13*150)+(P13*150)+(Q13*150)+(R13*150)+(S13*200)+(T13*200)+(U13*100)+(V13*100)+(W13*100)+(X13*100)</f>
        <v>0</v>
      </c>
    </row>
    <row r="14" spans="1:27" ht="19.95" customHeight="1" x14ac:dyDescent="0.55000000000000004">
      <c r="A14" s="13">
        <f t="shared" si="0"/>
        <v>9</v>
      </c>
      <c r="B14" s="17"/>
      <c r="C14" s="18"/>
      <c r="D14" s="73"/>
      <c r="E14" s="74"/>
      <c r="F14" s="75"/>
      <c r="G14" s="75"/>
      <c r="H14" s="76"/>
      <c r="I14" s="76"/>
      <c r="J14" s="77"/>
      <c r="K14" s="78"/>
      <c r="L14" s="79"/>
      <c r="M14" s="80"/>
      <c r="N14" s="80"/>
      <c r="O14" s="80"/>
      <c r="P14" s="80"/>
      <c r="Q14" s="80"/>
      <c r="R14" s="80"/>
      <c r="S14" s="81"/>
      <c r="T14" s="82"/>
      <c r="U14" s="83"/>
      <c r="V14" s="75"/>
      <c r="W14" s="84"/>
      <c r="X14" s="85"/>
      <c r="Y14" s="72">
        <f t="shared" si="1"/>
        <v>0</v>
      </c>
    </row>
    <row r="15" spans="1:27" ht="19.95" customHeight="1" x14ac:dyDescent="0.55000000000000004">
      <c r="A15" s="13">
        <f t="shared" si="0"/>
        <v>10</v>
      </c>
      <c r="B15" s="17"/>
      <c r="C15" s="18"/>
      <c r="D15" s="73"/>
      <c r="E15" s="74"/>
      <c r="F15" s="75"/>
      <c r="G15" s="75"/>
      <c r="H15" s="76"/>
      <c r="I15" s="76"/>
      <c r="J15" s="77"/>
      <c r="K15" s="78"/>
      <c r="L15" s="79"/>
      <c r="M15" s="80"/>
      <c r="N15" s="80"/>
      <c r="O15" s="80"/>
      <c r="P15" s="80"/>
      <c r="Q15" s="80"/>
      <c r="R15" s="80"/>
      <c r="S15" s="81"/>
      <c r="T15" s="82"/>
      <c r="U15" s="83"/>
      <c r="V15" s="75"/>
      <c r="W15" s="84"/>
      <c r="X15" s="85"/>
      <c r="Y15" s="72">
        <f t="shared" si="1"/>
        <v>0</v>
      </c>
    </row>
    <row r="16" spans="1:27" ht="19.95" customHeight="1" x14ac:dyDescent="0.55000000000000004">
      <c r="A16" s="13">
        <f t="shared" si="0"/>
        <v>11</v>
      </c>
      <c r="B16" s="17"/>
      <c r="C16" s="18"/>
      <c r="D16" s="73"/>
      <c r="E16" s="74"/>
      <c r="F16" s="75"/>
      <c r="G16" s="75"/>
      <c r="H16" s="76"/>
      <c r="I16" s="76"/>
      <c r="J16" s="77"/>
      <c r="K16" s="78"/>
      <c r="L16" s="79"/>
      <c r="M16" s="80"/>
      <c r="N16" s="80"/>
      <c r="O16" s="80"/>
      <c r="P16" s="80"/>
      <c r="Q16" s="80"/>
      <c r="R16" s="80"/>
      <c r="S16" s="81"/>
      <c r="T16" s="82"/>
      <c r="U16" s="83"/>
      <c r="V16" s="75"/>
      <c r="W16" s="84"/>
      <c r="X16" s="85"/>
      <c r="Y16" s="72">
        <f t="shared" si="1"/>
        <v>0</v>
      </c>
    </row>
    <row r="17" spans="1:25" ht="19.95" customHeight="1" x14ac:dyDescent="0.55000000000000004">
      <c r="A17" s="13">
        <f t="shared" si="0"/>
        <v>12</v>
      </c>
      <c r="B17" s="17"/>
      <c r="C17" s="18"/>
      <c r="D17" s="73"/>
      <c r="E17" s="74"/>
      <c r="F17" s="75"/>
      <c r="G17" s="75"/>
      <c r="H17" s="76"/>
      <c r="I17" s="76"/>
      <c r="J17" s="77"/>
      <c r="K17" s="78"/>
      <c r="L17" s="79"/>
      <c r="M17" s="80"/>
      <c r="N17" s="80"/>
      <c r="O17" s="80"/>
      <c r="P17" s="80"/>
      <c r="Q17" s="80"/>
      <c r="R17" s="80"/>
      <c r="S17" s="81"/>
      <c r="T17" s="82"/>
      <c r="U17" s="83"/>
      <c r="V17" s="75"/>
      <c r="W17" s="84"/>
      <c r="X17" s="85"/>
      <c r="Y17" s="72">
        <f t="shared" si="1"/>
        <v>0</v>
      </c>
    </row>
    <row r="18" spans="1:25" ht="19.95" customHeight="1" x14ac:dyDescent="0.55000000000000004">
      <c r="A18" s="13">
        <f t="shared" si="0"/>
        <v>13</v>
      </c>
      <c r="B18" s="17"/>
      <c r="C18" s="18"/>
      <c r="D18" s="73"/>
      <c r="E18" s="74"/>
      <c r="F18" s="75"/>
      <c r="G18" s="75"/>
      <c r="H18" s="76"/>
      <c r="I18" s="76"/>
      <c r="J18" s="77"/>
      <c r="K18" s="78"/>
      <c r="L18" s="79"/>
      <c r="M18" s="80"/>
      <c r="N18" s="80"/>
      <c r="O18" s="80"/>
      <c r="P18" s="80"/>
      <c r="Q18" s="80"/>
      <c r="R18" s="80"/>
      <c r="S18" s="81"/>
      <c r="T18" s="82"/>
      <c r="U18" s="83"/>
      <c r="V18" s="75"/>
      <c r="W18" s="84"/>
      <c r="X18" s="85"/>
      <c r="Y18" s="72">
        <f t="shared" si="1"/>
        <v>0</v>
      </c>
    </row>
    <row r="19" spans="1:25" ht="19.95" customHeight="1" x14ac:dyDescent="0.55000000000000004">
      <c r="A19" s="13">
        <f t="shared" si="0"/>
        <v>14</v>
      </c>
      <c r="B19" s="17"/>
      <c r="C19" s="18"/>
      <c r="D19" s="73"/>
      <c r="E19" s="74"/>
      <c r="F19" s="75"/>
      <c r="G19" s="75"/>
      <c r="H19" s="76"/>
      <c r="I19" s="76"/>
      <c r="J19" s="77"/>
      <c r="K19" s="78"/>
      <c r="L19" s="79"/>
      <c r="M19" s="80"/>
      <c r="N19" s="80"/>
      <c r="O19" s="80"/>
      <c r="P19" s="80"/>
      <c r="Q19" s="80"/>
      <c r="R19" s="80"/>
      <c r="S19" s="81"/>
      <c r="T19" s="82"/>
      <c r="U19" s="83"/>
      <c r="V19" s="75"/>
      <c r="W19" s="84"/>
      <c r="X19" s="85"/>
      <c r="Y19" s="72">
        <f t="shared" si="1"/>
        <v>0</v>
      </c>
    </row>
    <row r="20" spans="1:25" ht="19.95" customHeight="1" x14ac:dyDescent="0.55000000000000004">
      <c r="A20" s="13">
        <f t="shared" si="0"/>
        <v>15</v>
      </c>
      <c r="B20" s="17"/>
      <c r="C20" s="18"/>
      <c r="D20" s="73"/>
      <c r="E20" s="74"/>
      <c r="F20" s="75"/>
      <c r="G20" s="75"/>
      <c r="H20" s="76"/>
      <c r="I20" s="76"/>
      <c r="J20" s="77"/>
      <c r="K20" s="78"/>
      <c r="L20" s="79"/>
      <c r="M20" s="80"/>
      <c r="N20" s="80"/>
      <c r="O20" s="80"/>
      <c r="P20" s="80"/>
      <c r="Q20" s="80"/>
      <c r="R20" s="80"/>
      <c r="S20" s="81"/>
      <c r="T20" s="82"/>
      <c r="U20" s="83"/>
      <c r="V20" s="75"/>
      <c r="W20" s="84"/>
      <c r="X20" s="85"/>
      <c r="Y20" s="72">
        <f t="shared" si="1"/>
        <v>0</v>
      </c>
    </row>
    <row r="21" spans="1:25" ht="19.95" customHeight="1" x14ac:dyDescent="0.55000000000000004">
      <c r="A21" s="13">
        <f t="shared" si="0"/>
        <v>16</v>
      </c>
      <c r="B21" s="17"/>
      <c r="C21" s="18"/>
      <c r="D21" s="73"/>
      <c r="E21" s="74"/>
      <c r="F21" s="75"/>
      <c r="G21" s="75"/>
      <c r="H21" s="76"/>
      <c r="I21" s="76"/>
      <c r="J21" s="77"/>
      <c r="K21" s="78"/>
      <c r="L21" s="79"/>
      <c r="M21" s="80"/>
      <c r="N21" s="80"/>
      <c r="O21" s="80"/>
      <c r="P21" s="80"/>
      <c r="Q21" s="80"/>
      <c r="R21" s="80"/>
      <c r="S21" s="81"/>
      <c r="T21" s="82"/>
      <c r="U21" s="83"/>
      <c r="V21" s="75"/>
      <c r="W21" s="84"/>
      <c r="X21" s="85"/>
      <c r="Y21" s="72">
        <f t="shared" si="1"/>
        <v>0</v>
      </c>
    </row>
    <row r="22" spans="1:25" ht="19.95" customHeight="1" x14ac:dyDescent="0.55000000000000004">
      <c r="A22" s="13">
        <f t="shared" si="0"/>
        <v>17</v>
      </c>
      <c r="B22" s="17"/>
      <c r="C22" s="18"/>
      <c r="D22" s="73"/>
      <c r="E22" s="74"/>
      <c r="F22" s="75"/>
      <c r="G22" s="75"/>
      <c r="H22" s="76"/>
      <c r="I22" s="76"/>
      <c r="J22" s="77"/>
      <c r="K22" s="78"/>
      <c r="L22" s="79"/>
      <c r="M22" s="80"/>
      <c r="N22" s="80"/>
      <c r="O22" s="80"/>
      <c r="P22" s="80"/>
      <c r="Q22" s="80"/>
      <c r="R22" s="80"/>
      <c r="S22" s="81"/>
      <c r="T22" s="82"/>
      <c r="U22" s="83"/>
      <c r="V22" s="75"/>
      <c r="W22" s="84"/>
      <c r="X22" s="85"/>
      <c r="Y22" s="72">
        <f t="shared" si="1"/>
        <v>0</v>
      </c>
    </row>
    <row r="23" spans="1:25" ht="19.95" customHeight="1" x14ac:dyDescent="0.55000000000000004">
      <c r="A23" s="13">
        <f t="shared" si="0"/>
        <v>18</v>
      </c>
      <c r="B23" s="17"/>
      <c r="C23" s="18"/>
      <c r="D23" s="73"/>
      <c r="E23" s="74"/>
      <c r="F23" s="75"/>
      <c r="G23" s="75"/>
      <c r="H23" s="76"/>
      <c r="I23" s="76"/>
      <c r="J23" s="77"/>
      <c r="K23" s="78"/>
      <c r="L23" s="79"/>
      <c r="M23" s="80"/>
      <c r="N23" s="80"/>
      <c r="O23" s="80"/>
      <c r="P23" s="80"/>
      <c r="Q23" s="80"/>
      <c r="R23" s="80"/>
      <c r="S23" s="81"/>
      <c r="T23" s="82"/>
      <c r="U23" s="83"/>
      <c r="V23" s="75"/>
      <c r="W23" s="84"/>
      <c r="X23" s="85"/>
      <c r="Y23" s="72">
        <f t="shared" si="1"/>
        <v>0</v>
      </c>
    </row>
    <row r="24" spans="1:25" ht="19.95" customHeight="1" x14ac:dyDescent="0.55000000000000004">
      <c r="A24" s="13">
        <f t="shared" si="0"/>
        <v>19</v>
      </c>
      <c r="B24" s="17"/>
      <c r="C24" s="18"/>
      <c r="D24" s="73"/>
      <c r="E24" s="74"/>
      <c r="F24" s="75"/>
      <c r="G24" s="75"/>
      <c r="H24" s="76"/>
      <c r="I24" s="76"/>
      <c r="J24" s="77"/>
      <c r="K24" s="78"/>
      <c r="L24" s="79"/>
      <c r="M24" s="80"/>
      <c r="N24" s="80"/>
      <c r="O24" s="80"/>
      <c r="P24" s="80"/>
      <c r="Q24" s="80"/>
      <c r="R24" s="80"/>
      <c r="S24" s="81"/>
      <c r="T24" s="82"/>
      <c r="U24" s="83"/>
      <c r="V24" s="75"/>
      <c r="W24" s="84"/>
      <c r="X24" s="85"/>
      <c r="Y24" s="72">
        <f t="shared" si="1"/>
        <v>0</v>
      </c>
    </row>
    <row r="25" spans="1:25" ht="19.95" customHeight="1" x14ac:dyDescent="0.55000000000000004">
      <c r="A25" s="13">
        <f t="shared" si="0"/>
        <v>20</v>
      </c>
      <c r="B25" s="17"/>
      <c r="C25" s="18"/>
      <c r="D25" s="73"/>
      <c r="E25" s="74"/>
      <c r="F25" s="75"/>
      <c r="G25" s="75"/>
      <c r="H25" s="76"/>
      <c r="I25" s="76"/>
      <c r="J25" s="77"/>
      <c r="K25" s="78"/>
      <c r="L25" s="79"/>
      <c r="M25" s="80"/>
      <c r="N25" s="80"/>
      <c r="O25" s="80"/>
      <c r="P25" s="80"/>
      <c r="Q25" s="80"/>
      <c r="R25" s="80"/>
      <c r="S25" s="81"/>
      <c r="T25" s="82"/>
      <c r="U25" s="83"/>
      <c r="V25" s="75"/>
      <c r="W25" s="84"/>
      <c r="X25" s="85"/>
      <c r="Y25" s="72">
        <f t="shared" si="1"/>
        <v>0</v>
      </c>
    </row>
    <row r="26" spans="1:25" ht="19.95" customHeight="1" x14ac:dyDescent="0.55000000000000004">
      <c r="A26" s="13">
        <f t="shared" si="0"/>
        <v>21</v>
      </c>
      <c r="B26" s="17"/>
      <c r="C26" s="18"/>
      <c r="D26" s="73"/>
      <c r="E26" s="74"/>
      <c r="F26" s="75"/>
      <c r="G26" s="75"/>
      <c r="H26" s="76"/>
      <c r="I26" s="76"/>
      <c r="J26" s="77"/>
      <c r="K26" s="78"/>
      <c r="L26" s="79"/>
      <c r="M26" s="80"/>
      <c r="N26" s="80"/>
      <c r="O26" s="80"/>
      <c r="P26" s="80"/>
      <c r="Q26" s="80"/>
      <c r="R26" s="80"/>
      <c r="S26" s="81"/>
      <c r="T26" s="82"/>
      <c r="U26" s="83"/>
      <c r="V26" s="75"/>
      <c r="W26" s="84"/>
      <c r="X26" s="85"/>
      <c r="Y26" s="72">
        <f t="shared" si="1"/>
        <v>0</v>
      </c>
    </row>
    <row r="27" spans="1:25" ht="19.95" customHeight="1" x14ac:dyDescent="0.55000000000000004">
      <c r="A27" s="13">
        <f t="shared" si="0"/>
        <v>22</v>
      </c>
      <c r="B27" s="17"/>
      <c r="C27" s="18"/>
      <c r="D27" s="73"/>
      <c r="E27" s="74"/>
      <c r="F27" s="75"/>
      <c r="G27" s="75"/>
      <c r="H27" s="76"/>
      <c r="I27" s="76"/>
      <c r="J27" s="77"/>
      <c r="K27" s="78"/>
      <c r="L27" s="79"/>
      <c r="M27" s="80"/>
      <c r="N27" s="80"/>
      <c r="O27" s="80"/>
      <c r="P27" s="80"/>
      <c r="Q27" s="80"/>
      <c r="R27" s="80"/>
      <c r="S27" s="81"/>
      <c r="T27" s="82"/>
      <c r="U27" s="83"/>
      <c r="V27" s="75"/>
      <c r="W27" s="84"/>
      <c r="X27" s="85"/>
      <c r="Y27" s="72">
        <f t="shared" si="1"/>
        <v>0</v>
      </c>
    </row>
    <row r="28" spans="1:25" ht="19.95" customHeight="1" x14ac:dyDescent="0.55000000000000004">
      <c r="A28" s="13">
        <f t="shared" si="0"/>
        <v>23</v>
      </c>
      <c r="B28" s="17"/>
      <c r="C28" s="18"/>
      <c r="D28" s="73"/>
      <c r="E28" s="74"/>
      <c r="F28" s="75"/>
      <c r="G28" s="75"/>
      <c r="H28" s="76"/>
      <c r="I28" s="76"/>
      <c r="J28" s="77"/>
      <c r="K28" s="78"/>
      <c r="L28" s="79"/>
      <c r="M28" s="80"/>
      <c r="N28" s="80"/>
      <c r="O28" s="80"/>
      <c r="P28" s="80"/>
      <c r="Q28" s="80"/>
      <c r="R28" s="80"/>
      <c r="S28" s="81"/>
      <c r="T28" s="82"/>
      <c r="U28" s="83"/>
      <c r="V28" s="75"/>
      <c r="W28" s="84"/>
      <c r="X28" s="85"/>
      <c r="Y28" s="72">
        <f t="shared" si="1"/>
        <v>0</v>
      </c>
    </row>
    <row r="29" spans="1:25" ht="19.95" customHeight="1" x14ac:dyDescent="0.55000000000000004">
      <c r="A29" s="13">
        <f t="shared" si="0"/>
        <v>24</v>
      </c>
      <c r="B29" s="17"/>
      <c r="C29" s="18"/>
      <c r="D29" s="73"/>
      <c r="E29" s="74"/>
      <c r="F29" s="75"/>
      <c r="G29" s="75"/>
      <c r="H29" s="76"/>
      <c r="I29" s="76"/>
      <c r="J29" s="77"/>
      <c r="K29" s="78"/>
      <c r="L29" s="79"/>
      <c r="M29" s="80"/>
      <c r="N29" s="80"/>
      <c r="O29" s="80"/>
      <c r="P29" s="80"/>
      <c r="Q29" s="80"/>
      <c r="R29" s="80"/>
      <c r="S29" s="81"/>
      <c r="T29" s="82"/>
      <c r="U29" s="83"/>
      <c r="V29" s="75"/>
      <c r="W29" s="84"/>
      <c r="X29" s="85"/>
      <c r="Y29" s="72">
        <f t="shared" si="1"/>
        <v>0</v>
      </c>
    </row>
    <row r="30" spans="1:25" ht="19.95" customHeight="1" x14ac:dyDescent="0.55000000000000004">
      <c r="A30" s="13">
        <f t="shared" si="0"/>
        <v>25</v>
      </c>
      <c r="B30" s="17"/>
      <c r="C30" s="18"/>
      <c r="D30" s="73"/>
      <c r="E30" s="74"/>
      <c r="F30" s="75"/>
      <c r="G30" s="75"/>
      <c r="H30" s="76"/>
      <c r="I30" s="76"/>
      <c r="J30" s="77"/>
      <c r="K30" s="78"/>
      <c r="L30" s="79"/>
      <c r="M30" s="80"/>
      <c r="N30" s="80"/>
      <c r="O30" s="80"/>
      <c r="P30" s="80"/>
      <c r="Q30" s="80"/>
      <c r="R30" s="80"/>
      <c r="S30" s="81"/>
      <c r="T30" s="82"/>
      <c r="U30" s="83"/>
      <c r="V30" s="75"/>
      <c r="W30" s="84"/>
      <c r="X30" s="85"/>
      <c r="Y30" s="72">
        <f t="shared" si="1"/>
        <v>0</v>
      </c>
    </row>
    <row r="31" spans="1:25" ht="19.95" customHeight="1" x14ac:dyDescent="0.55000000000000004">
      <c r="A31" s="13">
        <f t="shared" si="0"/>
        <v>26</v>
      </c>
      <c r="B31" s="17"/>
      <c r="C31" s="18"/>
      <c r="D31" s="73"/>
      <c r="E31" s="74"/>
      <c r="F31" s="75"/>
      <c r="G31" s="75"/>
      <c r="H31" s="76"/>
      <c r="I31" s="76"/>
      <c r="J31" s="77"/>
      <c r="K31" s="78"/>
      <c r="L31" s="79"/>
      <c r="M31" s="80"/>
      <c r="N31" s="80"/>
      <c r="O31" s="80"/>
      <c r="P31" s="80"/>
      <c r="Q31" s="80"/>
      <c r="R31" s="80"/>
      <c r="S31" s="81"/>
      <c r="T31" s="82"/>
      <c r="U31" s="83"/>
      <c r="V31" s="75"/>
      <c r="W31" s="84"/>
      <c r="X31" s="85"/>
      <c r="Y31" s="72">
        <f t="shared" si="1"/>
        <v>0</v>
      </c>
    </row>
    <row r="32" spans="1:25" ht="19.95" customHeight="1" x14ac:dyDescent="0.55000000000000004">
      <c r="A32" s="13">
        <f t="shared" si="0"/>
        <v>27</v>
      </c>
      <c r="B32" s="17"/>
      <c r="C32" s="18"/>
      <c r="D32" s="73"/>
      <c r="E32" s="74"/>
      <c r="F32" s="75"/>
      <c r="G32" s="75"/>
      <c r="H32" s="76"/>
      <c r="I32" s="76"/>
      <c r="J32" s="77"/>
      <c r="K32" s="78"/>
      <c r="L32" s="79"/>
      <c r="M32" s="80"/>
      <c r="N32" s="80"/>
      <c r="O32" s="80"/>
      <c r="P32" s="80"/>
      <c r="Q32" s="80"/>
      <c r="R32" s="80"/>
      <c r="S32" s="81"/>
      <c r="T32" s="82"/>
      <c r="U32" s="83"/>
      <c r="V32" s="75"/>
      <c r="W32" s="84"/>
      <c r="X32" s="85"/>
      <c r="Y32" s="72">
        <f t="shared" si="1"/>
        <v>0</v>
      </c>
    </row>
    <row r="33" spans="1:25" ht="19.95" customHeight="1" x14ac:dyDescent="0.55000000000000004">
      <c r="A33" s="13">
        <f t="shared" si="0"/>
        <v>28</v>
      </c>
      <c r="B33" s="17"/>
      <c r="C33" s="18"/>
      <c r="D33" s="73"/>
      <c r="E33" s="74"/>
      <c r="F33" s="75"/>
      <c r="G33" s="75"/>
      <c r="H33" s="76"/>
      <c r="I33" s="76"/>
      <c r="J33" s="77"/>
      <c r="K33" s="78"/>
      <c r="L33" s="79"/>
      <c r="M33" s="80"/>
      <c r="N33" s="80"/>
      <c r="O33" s="80"/>
      <c r="P33" s="80"/>
      <c r="Q33" s="80"/>
      <c r="R33" s="80"/>
      <c r="S33" s="81"/>
      <c r="T33" s="82"/>
      <c r="U33" s="83"/>
      <c r="V33" s="75"/>
      <c r="W33" s="84"/>
      <c r="X33" s="85"/>
      <c r="Y33" s="72">
        <f t="shared" si="1"/>
        <v>0</v>
      </c>
    </row>
    <row r="34" spans="1:25" ht="19.95" customHeight="1" x14ac:dyDescent="0.55000000000000004">
      <c r="A34" s="13">
        <f t="shared" si="0"/>
        <v>29</v>
      </c>
      <c r="B34" s="17"/>
      <c r="C34" s="18"/>
      <c r="D34" s="73"/>
      <c r="E34" s="74"/>
      <c r="F34" s="75"/>
      <c r="G34" s="75"/>
      <c r="H34" s="76"/>
      <c r="I34" s="76"/>
      <c r="J34" s="77"/>
      <c r="K34" s="78"/>
      <c r="L34" s="79"/>
      <c r="M34" s="80"/>
      <c r="N34" s="80"/>
      <c r="O34" s="80"/>
      <c r="P34" s="80"/>
      <c r="Q34" s="80"/>
      <c r="R34" s="80"/>
      <c r="S34" s="81"/>
      <c r="T34" s="82"/>
      <c r="U34" s="83"/>
      <c r="V34" s="75"/>
      <c r="W34" s="84"/>
      <c r="X34" s="85"/>
      <c r="Y34" s="72">
        <f t="shared" si="1"/>
        <v>0</v>
      </c>
    </row>
    <row r="35" spans="1:25" ht="19.95" customHeight="1" x14ac:dyDescent="0.55000000000000004">
      <c r="A35" s="13">
        <f t="shared" si="0"/>
        <v>30</v>
      </c>
      <c r="B35" s="17"/>
      <c r="C35" s="18"/>
      <c r="D35" s="73"/>
      <c r="E35" s="74"/>
      <c r="F35" s="75"/>
      <c r="G35" s="75"/>
      <c r="H35" s="76"/>
      <c r="I35" s="76"/>
      <c r="J35" s="77"/>
      <c r="K35" s="78"/>
      <c r="L35" s="79"/>
      <c r="M35" s="80"/>
      <c r="N35" s="80"/>
      <c r="O35" s="80"/>
      <c r="P35" s="80"/>
      <c r="Q35" s="80"/>
      <c r="R35" s="80"/>
      <c r="S35" s="81"/>
      <c r="T35" s="82"/>
      <c r="U35" s="83"/>
      <c r="V35" s="75"/>
      <c r="W35" s="84"/>
      <c r="X35" s="85"/>
      <c r="Y35" s="72">
        <f t="shared" si="1"/>
        <v>0</v>
      </c>
    </row>
    <row r="36" spans="1:25" ht="19.95" customHeight="1" x14ac:dyDescent="0.55000000000000004">
      <c r="A36" s="13">
        <f t="shared" si="0"/>
        <v>31</v>
      </c>
      <c r="B36" s="17"/>
      <c r="C36" s="18"/>
      <c r="D36" s="73"/>
      <c r="E36" s="74"/>
      <c r="F36" s="75"/>
      <c r="G36" s="75"/>
      <c r="H36" s="76"/>
      <c r="I36" s="76"/>
      <c r="J36" s="77"/>
      <c r="K36" s="78"/>
      <c r="L36" s="79"/>
      <c r="M36" s="80"/>
      <c r="N36" s="80"/>
      <c r="O36" s="80"/>
      <c r="P36" s="80"/>
      <c r="Q36" s="80"/>
      <c r="R36" s="80"/>
      <c r="S36" s="81"/>
      <c r="T36" s="82"/>
      <c r="U36" s="83"/>
      <c r="V36" s="75"/>
      <c r="W36" s="84"/>
      <c r="X36" s="85"/>
      <c r="Y36" s="72">
        <f t="shared" si="1"/>
        <v>0</v>
      </c>
    </row>
    <row r="37" spans="1:25" ht="19.95" customHeight="1" x14ac:dyDescent="0.55000000000000004">
      <c r="A37" s="13">
        <f t="shared" si="0"/>
        <v>32</v>
      </c>
      <c r="B37" s="17"/>
      <c r="C37" s="18"/>
      <c r="D37" s="73"/>
      <c r="E37" s="74"/>
      <c r="F37" s="75"/>
      <c r="G37" s="75"/>
      <c r="H37" s="76"/>
      <c r="I37" s="76"/>
      <c r="J37" s="77"/>
      <c r="K37" s="78"/>
      <c r="L37" s="79"/>
      <c r="M37" s="80"/>
      <c r="N37" s="80"/>
      <c r="O37" s="80"/>
      <c r="P37" s="80"/>
      <c r="Q37" s="80"/>
      <c r="R37" s="80"/>
      <c r="S37" s="81"/>
      <c r="T37" s="82"/>
      <c r="U37" s="83"/>
      <c r="V37" s="75"/>
      <c r="W37" s="84"/>
      <c r="X37" s="85"/>
      <c r="Y37" s="72">
        <f t="shared" si="1"/>
        <v>0</v>
      </c>
    </row>
    <row r="38" spans="1:25" ht="19.95" customHeight="1" x14ac:dyDescent="0.55000000000000004">
      <c r="A38" s="13">
        <f t="shared" si="0"/>
        <v>33</v>
      </c>
      <c r="B38" s="17"/>
      <c r="C38" s="18"/>
      <c r="D38" s="73"/>
      <c r="E38" s="74"/>
      <c r="F38" s="75"/>
      <c r="G38" s="75"/>
      <c r="H38" s="76"/>
      <c r="I38" s="76"/>
      <c r="J38" s="77"/>
      <c r="K38" s="78"/>
      <c r="L38" s="79"/>
      <c r="M38" s="80"/>
      <c r="N38" s="80"/>
      <c r="O38" s="80"/>
      <c r="P38" s="80"/>
      <c r="Q38" s="80"/>
      <c r="R38" s="80"/>
      <c r="S38" s="81"/>
      <c r="T38" s="82"/>
      <c r="U38" s="83"/>
      <c r="V38" s="75"/>
      <c r="W38" s="84"/>
      <c r="X38" s="85"/>
      <c r="Y38" s="72">
        <f t="shared" si="1"/>
        <v>0</v>
      </c>
    </row>
    <row r="39" spans="1:25" ht="19.95" customHeight="1" x14ac:dyDescent="0.55000000000000004">
      <c r="A39" s="13">
        <f t="shared" si="0"/>
        <v>34</v>
      </c>
      <c r="B39" s="8"/>
      <c r="C39" s="9"/>
      <c r="D39" s="73"/>
      <c r="E39" s="74"/>
      <c r="F39" s="75"/>
      <c r="G39" s="75"/>
      <c r="H39" s="76"/>
      <c r="I39" s="76"/>
      <c r="J39" s="77"/>
      <c r="K39" s="78"/>
      <c r="L39" s="79"/>
      <c r="M39" s="80"/>
      <c r="N39" s="80"/>
      <c r="O39" s="80"/>
      <c r="P39" s="80"/>
      <c r="Q39" s="80"/>
      <c r="R39" s="80"/>
      <c r="S39" s="81"/>
      <c r="T39" s="82"/>
      <c r="U39" s="83"/>
      <c r="V39" s="75"/>
      <c r="W39" s="84"/>
      <c r="X39" s="85"/>
      <c r="Y39" s="72">
        <f t="shared" si="1"/>
        <v>0</v>
      </c>
    </row>
    <row r="40" spans="1:25" ht="19.95" customHeight="1" x14ac:dyDescent="0.55000000000000004">
      <c r="A40" s="13">
        <f t="shared" si="0"/>
        <v>35</v>
      </c>
      <c r="B40" s="8"/>
      <c r="C40" s="9"/>
      <c r="D40" s="73"/>
      <c r="E40" s="74"/>
      <c r="F40" s="75"/>
      <c r="G40" s="75"/>
      <c r="H40" s="76"/>
      <c r="I40" s="76"/>
      <c r="J40" s="77"/>
      <c r="K40" s="78"/>
      <c r="L40" s="79"/>
      <c r="M40" s="80"/>
      <c r="N40" s="80"/>
      <c r="O40" s="80"/>
      <c r="P40" s="80"/>
      <c r="Q40" s="80"/>
      <c r="R40" s="80"/>
      <c r="S40" s="81"/>
      <c r="T40" s="82"/>
      <c r="U40" s="83"/>
      <c r="V40" s="75"/>
      <c r="W40" s="84"/>
      <c r="X40" s="85"/>
      <c r="Y40" s="72">
        <f t="shared" si="1"/>
        <v>0</v>
      </c>
    </row>
    <row r="41" spans="1:25" ht="19.95" customHeight="1" x14ac:dyDescent="0.55000000000000004">
      <c r="A41" s="13">
        <f t="shared" si="0"/>
        <v>36</v>
      </c>
      <c r="B41" s="8"/>
      <c r="C41" s="9"/>
      <c r="D41" s="73"/>
      <c r="E41" s="74"/>
      <c r="F41" s="75"/>
      <c r="G41" s="75"/>
      <c r="H41" s="76"/>
      <c r="I41" s="76"/>
      <c r="J41" s="77"/>
      <c r="K41" s="78"/>
      <c r="L41" s="79"/>
      <c r="M41" s="80"/>
      <c r="N41" s="80"/>
      <c r="O41" s="80"/>
      <c r="P41" s="80"/>
      <c r="Q41" s="80"/>
      <c r="R41" s="80"/>
      <c r="S41" s="81"/>
      <c r="T41" s="82"/>
      <c r="U41" s="83"/>
      <c r="V41" s="75"/>
      <c r="W41" s="84"/>
      <c r="X41" s="85"/>
      <c r="Y41" s="72">
        <f t="shared" si="1"/>
        <v>0</v>
      </c>
    </row>
    <row r="42" spans="1:25" ht="19.95" customHeight="1" thickBot="1" x14ac:dyDescent="0.6">
      <c r="A42" s="14">
        <f t="shared" si="0"/>
        <v>37</v>
      </c>
      <c r="B42" s="10"/>
      <c r="C42" s="11"/>
      <c r="D42" s="86"/>
      <c r="E42" s="87"/>
      <c r="F42" s="88"/>
      <c r="G42" s="88"/>
      <c r="H42" s="89"/>
      <c r="I42" s="89"/>
      <c r="J42" s="90"/>
      <c r="K42" s="91"/>
      <c r="L42" s="92"/>
      <c r="M42" s="93"/>
      <c r="N42" s="93"/>
      <c r="O42" s="93"/>
      <c r="P42" s="93"/>
      <c r="Q42" s="93"/>
      <c r="R42" s="93"/>
      <c r="S42" s="94"/>
      <c r="T42" s="95"/>
      <c r="U42" s="96"/>
      <c r="V42" s="88"/>
      <c r="W42" s="97"/>
      <c r="X42" s="98"/>
      <c r="Y42" s="72">
        <f t="shared" si="1"/>
        <v>0</v>
      </c>
    </row>
    <row r="43" spans="1:25" s="34" customFormat="1" ht="19.95" customHeight="1" thickBot="1" x14ac:dyDescent="0.3">
      <c r="A43" s="24"/>
      <c r="B43" s="26"/>
      <c r="C43" s="25" t="s">
        <v>23</v>
      </c>
      <c r="D43" s="121">
        <f>SUM(D6:E42)</f>
        <v>0</v>
      </c>
      <c r="E43" s="122"/>
      <c r="F43" s="123">
        <v>1</v>
      </c>
      <c r="G43" s="124"/>
      <c r="H43" s="125">
        <v>4</v>
      </c>
      <c r="I43" s="126"/>
      <c r="J43" s="127">
        <v>2</v>
      </c>
      <c r="K43" s="128"/>
      <c r="L43" s="27">
        <v>3</v>
      </c>
      <c r="M43" s="28">
        <v>2</v>
      </c>
      <c r="N43" s="28">
        <v>1</v>
      </c>
      <c r="O43" s="28">
        <v>1</v>
      </c>
      <c r="P43" s="28">
        <f t="shared" ref="P43" si="2">SUM(P6:P42)</f>
        <v>0</v>
      </c>
      <c r="Q43" s="28">
        <f t="shared" ref="Q43:X43" si="3">SUM(Q6:Q42)</f>
        <v>0</v>
      </c>
      <c r="R43" s="28">
        <f t="shared" si="3"/>
        <v>0</v>
      </c>
      <c r="S43" s="49">
        <f t="shared" si="3"/>
        <v>0</v>
      </c>
      <c r="T43" s="29">
        <f t="shared" si="3"/>
        <v>0</v>
      </c>
      <c r="U43" s="30">
        <f t="shared" si="3"/>
        <v>0</v>
      </c>
      <c r="V43" s="50">
        <f t="shared" si="3"/>
        <v>0</v>
      </c>
      <c r="W43" s="31">
        <f t="shared" si="3"/>
        <v>0</v>
      </c>
      <c r="X43" s="32">
        <f t="shared" si="3"/>
        <v>0</v>
      </c>
      <c r="Y43" s="33">
        <f>SUM(Y6:Y42)</f>
        <v>2150</v>
      </c>
    </row>
    <row r="44" spans="1:25" s="3" customFormat="1" ht="21" thickTop="1" x14ac:dyDescent="0.55000000000000004">
      <c r="B44" s="15" t="s">
        <v>8</v>
      </c>
    </row>
    <row r="45" spans="1:25" s="3" customFormat="1" ht="20.399999999999999" x14ac:dyDescent="0.55000000000000004">
      <c r="A45" s="15">
        <v>1</v>
      </c>
      <c r="B45" s="15" t="s">
        <v>49</v>
      </c>
    </row>
    <row r="46" spans="1:25" s="3" customFormat="1" ht="20.399999999999999" x14ac:dyDescent="0.55000000000000004">
      <c r="A46" s="15">
        <v>2</v>
      </c>
      <c r="B46" s="15" t="s">
        <v>9</v>
      </c>
    </row>
    <row r="47" spans="1:25" s="3" customFormat="1" ht="20.399999999999999" x14ac:dyDescent="0.55000000000000004">
      <c r="A47" s="15">
        <v>3</v>
      </c>
      <c r="B47" s="15" t="s">
        <v>50</v>
      </c>
    </row>
    <row r="48" spans="1:25" s="3" customFormat="1" ht="20.399999999999999" x14ac:dyDescent="0.55000000000000004">
      <c r="A48" s="22">
        <v>4</v>
      </c>
      <c r="B48" s="22" t="s">
        <v>24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="3" customFormat="1" ht="19.8" x14ac:dyDescent="0.5"/>
    <row r="50" s="3" customFormat="1" ht="19.8" x14ac:dyDescent="0.5"/>
    <row r="51" s="3" customFormat="1" ht="19.8" x14ac:dyDescent="0.5"/>
    <row r="52" s="3" customFormat="1" ht="19.8" x14ac:dyDescent="0.5"/>
    <row r="53" s="3" customFormat="1" ht="19.8" x14ac:dyDescent="0.5"/>
    <row r="54" s="3" customFormat="1" ht="19.8" x14ac:dyDescent="0.5"/>
    <row r="55" s="3" customFormat="1" ht="19.8" x14ac:dyDescent="0.5"/>
    <row r="56" s="3" customFormat="1" ht="19.8" x14ac:dyDescent="0.5"/>
    <row r="57" s="3" customFormat="1" ht="19.8" x14ac:dyDescent="0.5"/>
    <row r="58" s="3" customFormat="1" ht="19.8" x14ac:dyDescent="0.5"/>
    <row r="59" s="3" customFormat="1" ht="19.8" x14ac:dyDescent="0.5"/>
    <row r="60" s="3" customFormat="1" ht="19.8" x14ac:dyDescent="0.5"/>
    <row r="61" s="3" customFormat="1" ht="19.8" x14ac:dyDescent="0.5"/>
    <row r="62" s="3" customFormat="1" ht="19.8" x14ac:dyDescent="0.5"/>
    <row r="63" s="3" customFormat="1" ht="19.8" x14ac:dyDescent="0.5"/>
    <row r="64" s="3" customFormat="1" ht="19.8" x14ac:dyDescent="0.5"/>
    <row r="65" s="3" customFormat="1" ht="19.8" x14ac:dyDescent="0.5"/>
    <row r="66" s="3" customFormat="1" ht="19.8" x14ac:dyDescent="0.5"/>
    <row r="67" s="3" customFormat="1" ht="19.8" x14ac:dyDescent="0.5"/>
    <row r="68" s="3" customFormat="1" ht="19.8" x14ac:dyDescent="0.5"/>
    <row r="69" s="3" customFormat="1" ht="19.8" x14ac:dyDescent="0.5"/>
    <row r="70" s="3" customFormat="1" ht="19.8" x14ac:dyDescent="0.5"/>
    <row r="71" s="3" customFormat="1" ht="19.8" x14ac:dyDescent="0.5"/>
    <row r="72" s="3" customFormat="1" ht="19.8" x14ac:dyDescent="0.5"/>
    <row r="73" s="3" customFormat="1" ht="19.8" x14ac:dyDescent="0.5"/>
    <row r="74" s="3" customFormat="1" ht="19.8" x14ac:dyDescent="0.5"/>
    <row r="75" s="3" customFormat="1" ht="19.8" x14ac:dyDescent="0.5"/>
    <row r="76" s="3" customFormat="1" ht="19.8" x14ac:dyDescent="0.5"/>
    <row r="77" s="3" customFormat="1" ht="19.8" x14ac:dyDescent="0.5"/>
    <row r="78" s="3" customFormat="1" ht="19.8" x14ac:dyDescent="0.5"/>
    <row r="79" s="3" customFormat="1" ht="19.8" x14ac:dyDescent="0.5"/>
    <row r="80" s="3" customFormat="1" ht="19.8" x14ac:dyDescent="0.5"/>
    <row r="81" s="3" customFormat="1" ht="19.8" x14ac:dyDescent="0.5"/>
    <row r="82" s="3" customFormat="1" ht="19.8" x14ac:dyDescent="0.5"/>
    <row r="83" s="3" customFormat="1" ht="19.8" x14ac:dyDescent="0.5"/>
    <row r="84" s="3" customFormat="1" ht="19.8" x14ac:dyDescent="0.5"/>
    <row r="85" s="3" customFormat="1" ht="19.8" x14ac:dyDescent="0.5"/>
    <row r="86" s="3" customFormat="1" ht="19.8" x14ac:dyDescent="0.5"/>
    <row r="87" s="3" customFormat="1" ht="19.8" x14ac:dyDescent="0.5"/>
    <row r="88" s="3" customFormat="1" ht="19.8" x14ac:dyDescent="0.5"/>
    <row r="89" s="3" customFormat="1" ht="19.8" x14ac:dyDescent="0.5"/>
    <row r="90" s="3" customFormat="1" ht="19.8" x14ac:dyDescent="0.5"/>
    <row r="91" s="3" customFormat="1" ht="19.8" x14ac:dyDescent="0.5"/>
    <row r="92" s="3" customFormat="1" ht="19.8" x14ac:dyDescent="0.5"/>
    <row r="93" s="3" customFormat="1" ht="19.8" x14ac:dyDescent="0.5"/>
    <row r="94" s="3" customFormat="1" ht="19.8" x14ac:dyDescent="0.5"/>
    <row r="95" s="3" customFormat="1" ht="19.8" x14ac:dyDescent="0.5"/>
    <row r="96" s="3" customFormat="1" ht="19.8" x14ac:dyDescent="0.5"/>
    <row r="97" s="3" customFormat="1" ht="19.8" x14ac:dyDescent="0.5"/>
    <row r="98" s="3" customFormat="1" ht="19.8" x14ac:dyDescent="0.5"/>
    <row r="99" s="3" customFormat="1" ht="19.8" x14ac:dyDescent="0.5"/>
    <row r="100" s="3" customFormat="1" ht="19.8" x14ac:dyDescent="0.5"/>
    <row r="101" s="3" customFormat="1" ht="19.8" x14ac:dyDescent="0.5"/>
    <row r="102" s="3" customFormat="1" ht="19.8" x14ac:dyDescent="0.5"/>
    <row r="103" s="3" customFormat="1" ht="19.8" x14ac:dyDescent="0.5"/>
    <row r="104" s="3" customFormat="1" ht="19.8" x14ac:dyDescent="0.5"/>
    <row r="105" s="3" customFormat="1" ht="19.8" x14ac:dyDescent="0.5"/>
    <row r="106" s="3" customFormat="1" ht="19.8" x14ac:dyDescent="0.5"/>
    <row r="107" s="3" customFormat="1" ht="19.8" x14ac:dyDescent="0.5"/>
    <row r="108" s="3" customFormat="1" ht="19.8" x14ac:dyDescent="0.5"/>
    <row r="109" s="3" customFormat="1" ht="19.8" x14ac:dyDescent="0.5"/>
    <row r="110" s="3" customFormat="1" ht="19.8" x14ac:dyDescent="0.5"/>
    <row r="111" s="3" customFormat="1" ht="19.8" x14ac:dyDescent="0.5"/>
    <row r="112" s="3" customFormat="1" ht="19.8" x14ac:dyDescent="0.5"/>
    <row r="113" s="3" customFormat="1" ht="19.8" x14ac:dyDescent="0.5"/>
    <row r="114" s="3" customFormat="1" ht="19.8" x14ac:dyDescent="0.5"/>
    <row r="115" s="3" customFormat="1" ht="19.8" x14ac:dyDescent="0.5"/>
    <row r="116" s="3" customFormat="1" ht="19.8" x14ac:dyDescent="0.5"/>
    <row r="117" s="3" customFormat="1" ht="19.8" x14ac:dyDescent="0.5"/>
    <row r="118" s="3" customFormat="1" ht="19.8" x14ac:dyDescent="0.5"/>
    <row r="119" s="3" customFormat="1" ht="19.8" x14ac:dyDescent="0.5"/>
    <row r="120" s="3" customFormat="1" ht="19.8" x14ac:dyDescent="0.5"/>
    <row r="121" s="3" customFormat="1" ht="19.8" x14ac:dyDescent="0.5"/>
    <row r="122" s="3" customFormat="1" ht="19.8" x14ac:dyDescent="0.5"/>
    <row r="123" s="3" customFormat="1" ht="19.8" x14ac:dyDescent="0.5"/>
    <row r="124" s="3" customFormat="1" ht="19.8" x14ac:dyDescent="0.5"/>
    <row r="125" s="3" customFormat="1" ht="19.8" x14ac:dyDescent="0.5"/>
    <row r="126" s="3" customFormat="1" ht="19.8" x14ac:dyDescent="0.5"/>
    <row r="127" s="3" customFormat="1" ht="19.8" x14ac:dyDescent="0.5"/>
    <row r="128" s="3" customFormat="1" ht="19.8" x14ac:dyDescent="0.5"/>
    <row r="129" s="3" customFormat="1" ht="19.8" x14ac:dyDescent="0.5"/>
    <row r="130" s="3" customFormat="1" ht="19.8" x14ac:dyDescent="0.5"/>
    <row r="131" s="3" customFormat="1" ht="19.8" x14ac:dyDescent="0.5"/>
    <row r="132" s="3" customFormat="1" ht="19.8" x14ac:dyDescent="0.5"/>
    <row r="133" s="3" customFormat="1" ht="19.8" x14ac:dyDescent="0.5"/>
    <row r="134" s="3" customFormat="1" ht="19.8" x14ac:dyDescent="0.5"/>
    <row r="135" s="3" customFormat="1" ht="19.8" x14ac:dyDescent="0.5"/>
    <row r="136" s="3" customFormat="1" ht="19.8" x14ac:dyDescent="0.5"/>
    <row r="137" s="3" customFormat="1" ht="19.8" x14ac:dyDescent="0.5"/>
    <row r="138" s="3" customFormat="1" ht="19.8" x14ac:dyDescent="0.5"/>
    <row r="139" s="3" customFormat="1" ht="19.8" x14ac:dyDescent="0.5"/>
    <row r="140" s="3" customFormat="1" ht="19.8" x14ac:dyDescent="0.5"/>
    <row r="141" s="3" customFormat="1" ht="19.8" x14ac:dyDescent="0.5"/>
    <row r="142" s="3" customFormat="1" ht="19.8" x14ac:dyDescent="0.5"/>
    <row r="143" s="3" customFormat="1" ht="19.8" x14ac:dyDescent="0.5"/>
    <row r="144" s="3" customFormat="1" ht="19.8" x14ac:dyDescent="0.5"/>
    <row r="145" s="3" customFormat="1" ht="19.8" x14ac:dyDescent="0.5"/>
    <row r="146" s="3" customFormat="1" ht="19.8" x14ac:dyDescent="0.5"/>
    <row r="147" s="3" customFormat="1" ht="19.8" x14ac:dyDescent="0.5"/>
    <row r="148" s="3" customFormat="1" ht="19.8" x14ac:dyDescent="0.5"/>
    <row r="149" s="3" customFormat="1" ht="19.8" x14ac:dyDescent="0.5"/>
    <row r="150" s="3" customFormat="1" ht="19.8" x14ac:dyDescent="0.5"/>
    <row r="151" s="3" customFormat="1" ht="19.8" x14ac:dyDescent="0.5"/>
    <row r="152" s="3" customFormat="1" ht="19.8" x14ac:dyDescent="0.5"/>
    <row r="153" s="3" customFormat="1" ht="19.8" x14ac:dyDescent="0.5"/>
    <row r="154" s="3" customFormat="1" ht="19.8" x14ac:dyDescent="0.5"/>
    <row r="155" s="3" customFormat="1" ht="19.8" x14ac:dyDescent="0.5"/>
    <row r="156" s="3" customFormat="1" ht="19.8" x14ac:dyDescent="0.5"/>
    <row r="157" s="3" customFormat="1" ht="19.8" x14ac:dyDescent="0.5"/>
    <row r="158" s="3" customFormat="1" ht="19.8" x14ac:dyDescent="0.5"/>
    <row r="159" s="3" customFormat="1" ht="19.8" x14ac:dyDescent="0.5"/>
    <row r="160" s="3" customFormat="1" ht="19.8" x14ac:dyDescent="0.5"/>
    <row r="161" s="3" customFormat="1" ht="19.8" x14ac:dyDescent="0.5"/>
    <row r="162" s="3" customFormat="1" ht="19.8" x14ac:dyDescent="0.5"/>
    <row r="163" s="3" customFormat="1" ht="19.8" x14ac:dyDescent="0.5"/>
    <row r="164" s="3" customFormat="1" ht="19.8" x14ac:dyDescent="0.5"/>
    <row r="165" s="3" customFormat="1" ht="19.8" x14ac:dyDescent="0.5"/>
    <row r="166" s="3" customFormat="1" ht="19.8" x14ac:dyDescent="0.5"/>
    <row r="167" s="3" customFormat="1" ht="19.8" x14ac:dyDescent="0.5"/>
    <row r="168" s="3" customFormat="1" ht="19.8" x14ac:dyDescent="0.5"/>
    <row r="169" s="3" customFormat="1" ht="19.8" x14ac:dyDescent="0.5"/>
    <row r="170" s="3" customFormat="1" ht="19.8" x14ac:dyDescent="0.5"/>
    <row r="171" s="3" customFormat="1" ht="19.8" x14ac:dyDescent="0.5"/>
    <row r="172" s="3" customFormat="1" ht="19.8" x14ac:dyDescent="0.5"/>
    <row r="173" s="3" customFormat="1" ht="19.8" x14ac:dyDescent="0.5"/>
    <row r="174" s="3" customFormat="1" ht="19.8" x14ac:dyDescent="0.5"/>
    <row r="175" s="3" customFormat="1" ht="19.8" x14ac:dyDescent="0.5"/>
    <row r="176" s="3" customFormat="1" ht="19.8" x14ac:dyDescent="0.5"/>
  </sheetData>
  <mergeCells count="18">
    <mergeCell ref="D43:E43"/>
    <mergeCell ref="F43:G43"/>
    <mergeCell ref="H43:I43"/>
    <mergeCell ref="J43:K43"/>
    <mergeCell ref="Y3:Y5"/>
    <mergeCell ref="D4:E4"/>
    <mergeCell ref="F4:G4"/>
    <mergeCell ref="H4:I4"/>
    <mergeCell ref="J4:K4"/>
    <mergeCell ref="U5:X5"/>
    <mergeCell ref="L3:T3"/>
    <mergeCell ref="L5:R5"/>
    <mergeCell ref="V1:X1"/>
    <mergeCell ref="A3:A5"/>
    <mergeCell ref="B3:B5"/>
    <mergeCell ref="C3:C5"/>
    <mergeCell ref="D3:K3"/>
    <mergeCell ref="U3:X3"/>
  </mergeCells>
  <pageMargins left="0.35433070866141736" right="0.11811023622047245" top="0.23622047244094491" bottom="0.39370078740157483" header="0.15748031496062992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4FB3-A2F8-4B3A-BAA4-F4718BB9E3FF}">
  <dimension ref="A1:J13"/>
  <sheetViews>
    <sheetView workbookViewId="0">
      <selection activeCell="E15" sqref="E15"/>
    </sheetView>
  </sheetViews>
  <sheetFormatPr defaultRowHeight="13.8" x14ac:dyDescent="0.25"/>
  <cols>
    <col min="1" max="1" width="7" customWidth="1"/>
    <col min="2" max="2" width="16.796875" customWidth="1"/>
    <col min="3" max="3" width="13.796875" bestFit="1" customWidth="1"/>
    <col min="4" max="4" width="8.8984375" customWidth="1"/>
    <col min="5" max="5" width="28.296875" bestFit="1" customWidth="1"/>
    <col min="6" max="6" width="7.19921875" customWidth="1"/>
    <col min="7" max="7" width="10.296875" customWidth="1"/>
    <col min="8" max="8" width="12.69921875" customWidth="1"/>
    <col min="9" max="9" width="16" customWidth="1"/>
    <col min="10" max="10" width="15.19921875" customWidth="1"/>
  </cols>
  <sheetData>
    <row r="1" spans="1:10" ht="26.4" x14ac:dyDescent="0.7">
      <c r="A1" s="39" t="s">
        <v>42</v>
      </c>
      <c r="B1" s="39"/>
      <c r="C1" s="39"/>
      <c r="D1" s="38"/>
      <c r="E1" s="38"/>
      <c r="F1" s="38"/>
      <c r="G1" s="38"/>
      <c r="H1" s="38"/>
      <c r="I1" s="38"/>
      <c r="J1" s="38"/>
    </row>
    <row r="2" spans="1:10" ht="24" x14ac:dyDescent="0.65">
      <c r="A2" s="37" t="s">
        <v>0</v>
      </c>
      <c r="B2" s="37" t="s">
        <v>1</v>
      </c>
      <c r="C2" s="37" t="s">
        <v>2</v>
      </c>
      <c r="D2" s="37" t="s">
        <v>36</v>
      </c>
      <c r="E2" s="37" t="s">
        <v>35</v>
      </c>
      <c r="F2" s="37" t="s">
        <v>34</v>
      </c>
      <c r="G2" s="37" t="s">
        <v>33</v>
      </c>
      <c r="H2" s="37" t="s">
        <v>32</v>
      </c>
      <c r="I2" s="37" t="s">
        <v>31</v>
      </c>
      <c r="J2" s="37" t="s">
        <v>30</v>
      </c>
    </row>
    <row r="3" spans="1:10" ht="22.8" x14ac:dyDescent="0.55000000000000004">
      <c r="A3" s="35" t="s">
        <v>27</v>
      </c>
      <c r="B3" s="36" t="s">
        <v>29</v>
      </c>
      <c r="C3" s="36"/>
      <c r="D3" s="35" t="s">
        <v>43</v>
      </c>
      <c r="E3" s="35"/>
      <c r="F3" s="40">
        <v>5</v>
      </c>
      <c r="G3" s="40" t="s">
        <v>28</v>
      </c>
      <c r="H3" s="40"/>
      <c r="I3" s="35"/>
      <c r="J3" s="35"/>
    </row>
    <row r="4" spans="1:10" ht="22.8" x14ac:dyDescent="0.55000000000000004">
      <c r="A4" s="35" t="s">
        <v>27</v>
      </c>
      <c r="B4" s="36" t="s">
        <v>26</v>
      </c>
      <c r="C4" s="36"/>
      <c r="D4" s="35" t="s">
        <v>44</v>
      </c>
      <c r="E4" s="35"/>
      <c r="F4" s="40">
        <v>9</v>
      </c>
      <c r="G4" s="40"/>
      <c r="H4" s="40" t="s">
        <v>25</v>
      </c>
      <c r="I4" s="35"/>
      <c r="J4" s="35"/>
    </row>
    <row r="5" spans="1:10" ht="22.8" x14ac:dyDescent="0.55000000000000004">
      <c r="A5" s="35">
        <v>1</v>
      </c>
      <c r="B5" s="36"/>
      <c r="C5" s="36"/>
      <c r="D5" s="35"/>
      <c r="E5" s="35"/>
      <c r="F5" s="35"/>
      <c r="G5" s="35"/>
      <c r="H5" s="35"/>
      <c r="I5" s="35"/>
      <c r="J5" s="35"/>
    </row>
    <row r="6" spans="1:10" ht="22.8" x14ac:dyDescent="0.55000000000000004">
      <c r="A6" s="35">
        <f>A5+1</f>
        <v>2</v>
      </c>
      <c r="B6" s="36"/>
      <c r="C6" s="36"/>
      <c r="D6" s="35"/>
      <c r="E6" s="35"/>
      <c r="F6" s="35"/>
      <c r="G6" s="35"/>
      <c r="H6" s="35"/>
      <c r="I6" s="35"/>
      <c r="J6" s="35"/>
    </row>
    <row r="7" spans="1:10" ht="22.8" x14ac:dyDescent="0.55000000000000004">
      <c r="A7" s="35">
        <f>A6+1</f>
        <v>3</v>
      </c>
      <c r="B7" s="36"/>
      <c r="C7" s="36"/>
      <c r="D7" s="35"/>
      <c r="E7" s="35"/>
      <c r="F7" s="35"/>
      <c r="G7" s="35"/>
      <c r="H7" s="35"/>
      <c r="I7" s="35"/>
      <c r="J7" s="35"/>
    </row>
    <row r="8" spans="1:10" ht="22.8" x14ac:dyDescent="0.55000000000000004">
      <c r="A8" s="35">
        <f t="shared" ref="A8:A11" si="0">A7+1</f>
        <v>4</v>
      </c>
      <c r="B8" s="36"/>
      <c r="C8" s="36"/>
      <c r="D8" s="35"/>
      <c r="E8" s="35"/>
      <c r="F8" s="35"/>
      <c r="G8" s="35"/>
      <c r="H8" s="35"/>
      <c r="I8" s="35"/>
      <c r="J8" s="35"/>
    </row>
    <row r="9" spans="1:10" ht="22.8" x14ac:dyDescent="0.55000000000000004">
      <c r="A9" s="35">
        <f t="shared" si="0"/>
        <v>5</v>
      </c>
      <c r="B9" s="36"/>
      <c r="C9" s="36"/>
      <c r="D9" s="35"/>
      <c r="E9" s="35"/>
      <c r="F9" s="35"/>
      <c r="G9" s="35"/>
      <c r="H9" s="35"/>
      <c r="I9" s="35"/>
      <c r="J9" s="35"/>
    </row>
    <row r="10" spans="1:10" ht="22.8" x14ac:dyDescent="0.55000000000000004">
      <c r="A10" s="35">
        <f t="shared" si="0"/>
        <v>6</v>
      </c>
      <c r="B10" s="36"/>
      <c r="C10" s="36"/>
      <c r="D10" s="35"/>
      <c r="E10" s="35"/>
      <c r="F10" s="35"/>
      <c r="G10" s="35"/>
      <c r="H10" s="35"/>
      <c r="I10" s="35"/>
      <c r="J10" s="35"/>
    </row>
    <row r="11" spans="1:10" ht="22.8" x14ac:dyDescent="0.55000000000000004">
      <c r="A11" s="35">
        <f t="shared" si="0"/>
        <v>7</v>
      </c>
      <c r="B11" s="36"/>
      <c r="C11" s="36"/>
      <c r="D11" s="35"/>
      <c r="E11" s="35"/>
      <c r="F11" s="35"/>
      <c r="G11" s="35"/>
      <c r="H11" s="35"/>
      <c r="I11" s="35"/>
      <c r="J11" s="35"/>
    </row>
    <row r="12" spans="1:10" ht="22.8" x14ac:dyDescent="0.55000000000000004">
      <c r="A12" s="35"/>
      <c r="B12" s="36"/>
      <c r="C12" s="36"/>
      <c r="D12" s="35"/>
      <c r="E12" s="35"/>
      <c r="F12" s="35"/>
      <c r="G12" s="35"/>
      <c r="H12" s="35"/>
      <c r="I12" s="35"/>
      <c r="J12" s="35"/>
    </row>
    <row r="13" spans="1:10" x14ac:dyDescent="0.25">
      <c r="G13" s="145"/>
      <c r="H13" s="145"/>
    </row>
  </sheetData>
  <mergeCells count="1">
    <mergeCell ref="G13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ต่างจังหวัด</vt:lpstr>
      <vt:lpstr>รายละเอียดสมัครค่ายเด็ก</vt:lpstr>
      <vt:lpstr>ต่างจังหวัด!Print_Titles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2022-08-15T04:03:03Z</cp:lastPrinted>
  <dcterms:created xsi:type="dcterms:W3CDTF">2022-08-11T13:27:56Z</dcterms:created>
  <dcterms:modified xsi:type="dcterms:W3CDTF">2024-06-01T13:28:20Z</dcterms:modified>
</cp:coreProperties>
</file>